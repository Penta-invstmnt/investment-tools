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urog\OneDrive\ドキュメント\Workspace\Finance\Investment\Tools\"/>
    </mc:Choice>
  </mc:AlternateContent>
  <xr:revisionPtr revIDLastSave="0" documentId="13_ncr:1_{41459090-60EB-4724-8D32-71590B490C0A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信託報酬シミュレータ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E38" i="1" l="1"/>
  <c r="C39" i="1"/>
  <c r="E12" i="1"/>
  <c r="E14" i="1"/>
  <c r="E23" i="1"/>
  <c r="E24" i="1"/>
  <c r="E25" i="1"/>
  <c r="E11" i="1"/>
  <c r="E13" i="1"/>
  <c r="E15" i="1"/>
  <c r="E28" i="1"/>
  <c r="E18" i="1"/>
  <c r="E31" i="1"/>
  <c r="E8" i="1"/>
  <c r="E20" i="1"/>
  <c r="E32" i="1"/>
  <c r="E29" i="1"/>
  <c r="E30" i="1"/>
  <c r="E37" i="1"/>
  <c r="E9" i="1"/>
  <c r="E21" i="1"/>
  <c r="E19" i="1"/>
  <c r="E10" i="1"/>
  <c r="E22" i="1"/>
  <c r="E34" i="1"/>
  <c r="E35" i="1"/>
  <c r="E16" i="1"/>
  <c r="E26" i="1"/>
  <c r="E36" i="1"/>
  <c r="E17" i="1"/>
  <c r="E27" i="1"/>
  <c r="C40" i="1" l="1"/>
  <c r="E39" i="1"/>
  <c r="E33" i="1"/>
  <c r="C41" i="1" l="1"/>
  <c r="E40" i="1"/>
  <c r="E41" i="1" l="1"/>
  <c r="C42" i="1"/>
  <c r="C43" i="1" l="1"/>
  <c r="E42" i="1"/>
  <c r="C44" i="1" l="1"/>
  <c r="E43" i="1"/>
  <c r="E44" i="1" l="1"/>
  <c r="C45" i="1"/>
  <c r="E45" i="1" l="1"/>
  <c r="C46" i="1"/>
  <c r="E46" i="1" l="1"/>
  <c r="C47" i="1"/>
  <c r="C48" i="1" l="1"/>
  <c r="E47" i="1"/>
  <c r="C49" i="1" l="1"/>
  <c r="E48" i="1"/>
  <c r="E49" i="1" l="1"/>
  <c r="C50" i="1"/>
  <c r="E50" i="1" l="1"/>
  <c r="C51" i="1"/>
  <c r="C52" i="1" l="1"/>
  <c r="E51" i="1"/>
  <c r="E52" i="1" l="1"/>
  <c r="C53" i="1"/>
  <c r="E53" i="1" l="1"/>
  <c r="C54" i="1"/>
  <c r="E54" i="1" l="1"/>
  <c r="C55" i="1"/>
  <c r="C56" i="1" l="1"/>
  <c r="E55" i="1"/>
  <c r="C57" i="1" l="1"/>
  <c r="E57" i="1" s="1"/>
  <c r="E56" i="1"/>
</calcChain>
</file>

<file path=xl/sharedStrings.xml><?xml version="1.0" encoding="utf-8"?>
<sst xmlns="http://schemas.openxmlformats.org/spreadsheetml/2006/main" count="10" uniqueCount="10">
  <si>
    <t>年利</t>
    <rPh sb="0" eb="2">
      <t>ネンリ</t>
    </rPh>
    <phoneticPr fontId="1"/>
  </si>
  <si>
    <t>初期金額</t>
    <rPh sb="0" eb="4">
      <t>ショキキンガク</t>
    </rPh>
    <phoneticPr fontId="1"/>
  </si>
  <si>
    <t>年数</t>
    <rPh sb="0" eb="2">
      <t>ネンスウ</t>
    </rPh>
    <phoneticPr fontId="1"/>
  </si>
  <si>
    <t>信託報酬率</t>
    <rPh sb="0" eb="5">
      <t>シンタクホウシュウリツ</t>
    </rPh>
    <phoneticPr fontId="1"/>
  </si>
  <si>
    <t>差額(A-B)</t>
    <rPh sb="0" eb="2">
      <t>サガク</t>
    </rPh>
    <phoneticPr fontId="1"/>
  </si>
  <si>
    <t>信託報酬シミュレーター</t>
    <rPh sb="0" eb="4">
      <t>シンタクホウシュウ</t>
    </rPh>
    <phoneticPr fontId="1"/>
  </si>
  <si>
    <t xml:space="preserve"> </t>
    <phoneticPr fontId="1"/>
  </si>
  <si>
    <t>投資信託A</t>
    <rPh sb="0" eb="4">
      <t>トウシシンタク</t>
    </rPh>
    <phoneticPr fontId="1"/>
  </si>
  <si>
    <t>投資信託B</t>
    <rPh sb="0" eb="4">
      <t>トウシシンタク</t>
    </rPh>
    <phoneticPr fontId="1"/>
  </si>
  <si>
    <t>この色のセルに入力</t>
    <rPh sb="2" eb="3">
      <t>イロ</t>
    </rPh>
    <rPh sb="7" eb="9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</si>
</sst>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_ "/>
    <numFmt numFmtId="180" formatCode="0.0000%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8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179" fontId="2" fillId="4" borderId="1" xfId="0" applyNumberFormat="1" applyFont="1" applyFill="1" applyBorder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9" fontId="2" fillId="3" borderId="1" xfId="0" applyNumberFormat="1" applyFont="1" applyFill="1" applyBorder="1" applyProtection="1">
      <protection locked="0"/>
    </xf>
    <xf numFmtId="180" fontId="2" fillId="3" borderId="1" xfId="0" applyNumberFormat="1" applyFont="1" applyFill="1" applyBorder="1" applyProtection="1">
      <protection locked="0"/>
    </xf>
    <xf numFmtId="179" fontId="2" fillId="3" borderId="1" xfId="0" applyNumberFormat="1" applyFont="1" applyFill="1" applyBorder="1" applyProtection="1">
      <protection locked="0"/>
    </xf>
    <xf numFmtId="0" fontId="3" fillId="0" borderId="1" xfId="0" applyFont="1" applyBorder="1"/>
    <xf numFmtId="179" fontId="3" fillId="4" borderId="1" xfId="0" applyNumberFormat="1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tabSelected="1" zoomScaleNormal="100" workbookViewId="0">
      <pane ySplit="7" topLeftCell="A8" activePane="bottomLeft" state="frozen"/>
      <selection pane="bottomLeft"/>
    </sheetView>
  </sheetViews>
  <sheetFormatPr defaultColWidth="0" defaultRowHeight="15" zeroHeight="1"/>
  <cols>
    <col min="1" max="1" width="2.58203125" style="1" customWidth="1"/>
    <col min="2" max="2" width="10" style="1" customWidth="1"/>
    <col min="3" max="5" width="15" style="1" customWidth="1"/>
    <col min="6" max="6" width="8.6640625" style="1" customWidth="1"/>
    <col min="7" max="16384" width="0" style="1" hidden="1"/>
  </cols>
  <sheetData>
    <row r="1" spans="1:5"/>
    <row r="2" spans="1:5" ht="24.5">
      <c r="B2" s="5" t="s">
        <v>5</v>
      </c>
    </row>
    <row r="3" spans="1:5">
      <c r="B3" s="2" t="s">
        <v>1</v>
      </c>
      <c r="C3" s="9">
        <v>1000000</v>
      </c>
      <c r="E3" s="6" t="s">
        <v>9</v>
      </c>
    </row>
    <row r="4" spans="1:5"/>
    <row r="5" spans="1:5">
      <c r="B5" s="2" t="s">
        <v>0</v>
      </c>
      <c r="C5" s="7">
        <v>0.05</v>
      </c>
      <c r="D5" s="7">
        <v>0.05</v>
      </c>
    </row>
    <row r="6" spans="1:5">
      <c r="A6" s="1" t="s">
        <v>6</v>
      </c>
      <c r="B6" s="2" t="s">
        <v>3</v>
      </c>
      <c r="C6" s="8">
        <v>1E-3</v>
      </c>
      <c r="D6" s="8">
        <v>2E-3</v>
      </c>
    </row>
    <row r="7" spans="1:5">
      <c r="B7" s="2" t="s">
        <v>2</v>
      </c>
      <c r="C7" s="2" t="s">
        <v>7</v>
      </c>
      <c r="D7" s="2" t="s">
        <v>8</v>
      </c>
      <c r="E7" s="2" t="s">
        <v>4</v>
      </c>
    </row>
    <row r="8" spans="1:5">
      <c r="B8" s="3">
        <v>1</v>
      </c>
      <c r="C8" s="4">
        <f>$C$3*(1+$C$5)*(1-C$6)</f>
        <v>1048950</v>
      </c>
      <c r="D8" s="4">
        <f>$C$3*(1+$D$5)*(1-D$6)</f>
        <v>1047900</v>
      </c>
      <c r="E8" s="4">
        <f>C8-D8</f>
        <v>1050</v>
      </c>
    </row>
    <row r="9" spans="1:5">
      <c r="B9" s="3">
        <v>2</v>
      </c>
      <c r="C9" s="4">
        <f>C8*(1+$C$5)*(1-$C$6)</f>
        <v>1100296.1025</v>
      </c>
      <c r="D9" s="4">
        <f>D8*(1+$D$5)*(1-$D$6)</f>
        <v>1098094.4099999999</v>
      </c>
      <c r="E9" s="4">
        <f t="shared" ref="E9:E37" si="0">C9-D9</f>
        <v>2201.6925000001211</v>
      </c>
    </row>
    <row r="10" spans="1:5">
      <c r="B10" s="3">
        <v>3</v>
      </c>
      <c r="C10" s="4">
        <f t="shared" ref="C10:C37" si="1">C9*(1+$C$5)*(1-$C$6)</f>
        <v>1154155.5967173751</v>
      </c>
      <c r="D10" s="4">
        <f t="shared" ref="D10:D37" si="2">D9*(1+$D$5)*(1-$D$6)</f>
        <v>1150693.1322389999</v>
      </c>
      <c r="E10" s="4">
        <f t="shared" si="0"/>
        <v>3462.4644783751573</v>
      </c>
    </row>
    <row r="11" spans="1:5">
      <c r="B11" s="3">
        <v>4</v>
      </c>
      <c r="C11" s="4">
        <f t="shared" si="1"/>
        <v>1210651.5131766908</v>
      </c>
      <c r="D11" s="4">
        <f t="shared" si="2"/>
        <v>1205811.3332732483</v>
      </c>
      <c r="E11" s="4">
        <f t="shared" si="0"/>
        <v>4840.1799034425057</v>
      </c>
    </row>
    <row r="12" spans="1:5">
      <c r="B12" s="3">
        <v>5</v>
      </c>
      <c r="C12" s="4">
        <f t="shared" si="1"/>
        <v>1269912.9047466898</v>
      </c>
      <c r="D12" s="4">
        <f t="shared" si="2"/>
        <v>1263569.6961370369</v>
      </c>
      <c r="E12" s="4">
        <f t="shared" si="0"/>
        <v>6343.2086096529383</v>
      </c>
    </row>
    <row r="13" spans="1:5">
      <c r="B13" s="3">
        <v>6</v>
      </c>
      <c r="C13" s="4">
        <f t="shared" si="1"/>
        <v>1332075.1414340404</v>
      </c>
      <c r="D13" s="4">
        <f t="shared" si="2"/>
        <v>1324094.6845820011</v>
      </c>
      <c r="E13" s="4">
        <f t="shared" si="0"/>
        <v>7980.4568520393223</v>
      </c>
    </row>
    <row r="14" spans="1:5">
      <c r="B14" s="3">
        <v>7</v>
      </c>
      <c r="C14" s="4">
        <f t="shared" si="1"/>
        <v>1397280.2196072368</v>
      </c>
      <c r="D14" s="4">
        <f t="shared" si="2"/>
        <v>1387518.819973479</v>
      </c>
      <c r="E14" s="4">
        <f t="shared" si="0"/>
        <v>9761.3996337577701</v>
      </c>
    </row>
    <row r="15" spans="1:5">
      <c r="B15" s="3">
        <v>8</v>
      </c>
      <c r="C15" s="4">
        <f t="shared" si="1"/>
        <v>1465677.086357011</v>
      </c>
      <c r="D15" s="4">
        <f t="shared" si="2"/>
        <v>1453980.9714502087</v>
      </c>
      <c r="E15" s="4">
        <f t="shared" si="0"/>
        <v>11696.114906802308</v>
      </c>
    </row>
    <row r="16" spans="1:5">
      <c r="B16" s="3">
        <v>9</v>
      </c>
      <c r="C16" s="4">
        <f t="shared" si="1"/>
        <v>1537421.9797341868</v>
      </c>
      <c r="D16" s="4">
        <f t="shared" si="2"/>
        <v>1523626.6599826738</v>
      </c>
      <c r="E16" s="4">
        <f t="shared" si="0"/>
        <v>13795.319751512958</v>
      </c>
    </row>
    <row r="17" spans="2:5">
      <c r="B17" s="10">
        <v>10</v>
      </c>
      <c r="C17" s="11">
        <f t="shared" si="1"/>
        <v>1612678.7856421755</v>
      </c>
      <c r="D17" s="11">
        <f t="shared" si="2"/>
        <v>1596608.3769958438</v>
      </c>
      <c r="E17" s="11">
        <f t="shared" si="0"/>
        <v>16070.408646331634</v>
      </c>
    </row>
    <row r="18" spans="2:5">
      <c r="B18" s="3">
        <v>11</v>
      </c>
      <c r="C18" s="4">
        <f t="shared" si="1"/>
        <v>1691619.4121993601</v>
      </c>
      <c r="D18" s="4">
        <f t="shared" si="2"/>
        <v>1673085.918253945</v>
      </c>
      <c r="E18" s="4">
        <f t="shared" si="0"/>
        <v>18533.493945415132</v>
      </c>
    </row>
    <row r="19" spans="2:5">
      <c r="B19" s="3">
        <v>12</v>
      </c>
      <c r="C19" s="4">
        <f t="shared" si="1"/>
        <v>1774424.1824265188</v>
      </c>
      <c r="D19" s="4">
        <f t="shared" si="2"/>
        <v>1753226.7337383088</v>
      </c>
      <c r="E19" s="4">
        <f t="shared" si="0"/>
        <v>21197.448688209988</v>
      </c>
    </row>
    <row r="20" spans="2:5">
      <c r="B20" s="3">
        <v>13</v>
      </c>
      <c r="C20" s="4">
        <f t="shared" si="1"/>
        <v>1861282.2461562969</v>
      </c>
      <c r="D20" s="4">
        <f t="shared" si="2"/>
        <v>1837206.2942843738</v>
      </c>
      <c r="E20" s="4">
        <f t="shared" si="0"/>
        <v>24075.951871923171</v>
      </c>
    </row>
    <row r="21" spans="2:5">
      <c r="B21" s="3">
        <v>14</v>
      </c>
      <c r="C21" s="4">
        <f t="shared" si="1"/>
        <v>1952392.0121056477</v>
      </c>
      <c r="D21" s="4">
        <f t="shared" si="2"/>
        <v>1925208.4757805953</v>
      </c>
      <c r="E21" s="4">
        <f t="shared" si="0"/>
        <v>27183.536325052381</v>
      </c>
    </row>
    <row r="22" spans="2:5">
      <c r="B22" s="3">
        <v>15</v>
      </c>
      <c r="C22" s="4">
        <f t="shared" si="1"/>
        <v>2047961.6010982192</v>
      </c>
      <c r="D22" s="4">
        <f t="shared" si="2"/>
        <v>2017425.9617704861</v>
      </c>
      <c r="E22" s="4">
        <f t="shared" si="0"/>
        <v>30535.639327733079</v>
      </c>
    </row>
    <row r="23" spans="2:5">
      <c r="B23" s="3">
        <v>16</v>
      </c>
      <c r="C23" s="4">
        <f t="shared" si="1"/>
        <v>2148209.321471977</v>
      </c>
      <c r="D23" s="4">
        <f t="shared" si="2"/>
        <v>2114060.6653392925</v>
      </c>
      <c r="E23" s="4">
        <f t="shared" si="0"/>
        <v>34148.656132684555</v>
      </c>
    </row>
    <row r="24" spans="2:5">
      <c r="B24" s="3">
        <v>17</v>
      </c>
      <c r="C24" s="4">
        <f t="shared" si="1"/>
        <v>2253364.1677580308</v>
      </c>
      <c r="D24" s="4">
        <f t="shared" si="2"/>
        <v>2215324.1712090448</v>
      </c>
      <c r="E24" s="4">
        <f t="shared" si="0"/>
        <v>38039.996548986062</v>
      </c>
    </row>
    <row r="25" spans="2:5">
      <c r="B25" s="3">
        <v>18</v>
      </c>
      <c r="C25" s="4">
        <f t="shared" si="1"/>
        <v>2363666.3437697864</v>
      </c>
      <c r="D25" s="4">
        <f t="shared" si="2"/>
        <v>2321438.1990099582</v>
      </c>
      <c r="E25" s="4">
        <f t="shared" si="0"/>
        <v>42228.144759828225</v>
      </c>
    </row>
    <row r="26" spans="2:5">
      <c r="B26" s="3">
        <v>19</v>
      </c>
      <c r="C26" s="4">
        <f t="shared" si="1"/>
        <v>2479367.8112973175</v>
      </c>
      <c r="D26" s="4">
        <f t="shared" si="2"/>
        <v>2432635.0887425351</v>
      </c>
      <c r="E26" s="4">
        <f t="shared" si="0"/>
        <v>46732.722554782405</v>
      </c>
    </row>
    <row r="27" spans="2:5">
      <c r="B27" s="10">
        <v>20</v>
      </c>
      <c r="C27" s="11">
        <f t="shared" si="1"/>
        <v>2600732.8656603214</v>
      </c>
      <c r="D27" s="11">
        <f t="shared" si="2"/>
        <v>2549158.3094933024</v>
      </c>
      <c r="E27" s="11">
        <f t="shared" si="0"/>
        <v>51574.556167019065</v>
      </c>
    </row>
    <row r="28" spans="2:5">
      <c r="B28" s="3">
        <v>21</v>
      </c>
      <c r="C28" s="4">
        <f t="shared" si="1"/>
        <v>2728038.7394343941</v>
      </c>
      <c r="D28" s="4">
        <f t="shared" si="2"/>
        <v>2671262.992518032</v>
      </c>
      <c r="E28" s="4">
        <f t="shared" si="0"/>
        <v>56775.746916362084</v>
      </c>
    </row>
    <row r="29" spans="2:5">
      <c r="B29" s="3">
        <v>22</v>
      </c>
      <c r="C29" s="4">
        <f t="shared" si="1"/>
        <v>2861576.2357297079</v>
      </c>
      <c r="D29" s="4">
        <f t="shared" si="2"/>
        <v>2799216.4898596457</v>
      </c>
      <c r="E29" s="4">
        <f t="shared" si="0"/>
        <v>62359.74587006215</v>
      </c>
    </row>
    <row r="30" spans="2:5">
      <c r="B30" s="3">
        <v>23</v>
      </c>
      <c r="C30" s="4">
        <f t="shared" si="1"/>
        <v>3001650.3924686769</v>
      </c>
      <c r="D30" s="4">
        <f t="shared" si="2"/>
        <v>2933298.9597239229</v>
      </c>
      <c r="E30" s="4">
        <f t="shared" si="0"/>
        <v>68351.432744754013</v>
      </c>
    </row>
    <row r="31" spans="2:5">
      <c r="B31" s="3">
        <v>24</v>
      </c>
      <c r="C31" s="4">
        <f t="shared" si="1"/>
        <v>3148581.1791800191</v>
      </c>
      <c r="D31" s="4">
        <f t="shared" si="2"/>
        <v>3073803.9798946991</v>
      </c>
      <c r="E31" s="4">
        <f t="shared" si="0"/>
        <v>74777.199285320006</v>
      </c>
    </row>
    <row r="32" spans="2:5">
      <c r="B32" s="3">
        <v>25</v>
      </c>
      <c r="C32" s="4">
        <f t="shared" si="1"/>
        <v>3302704.2279008813</v>
      </c>
      <c r="D32" s="4">
        <f t="shared" si="2"/>
        <v>3221039.1905316552</v>
      </c>
      <c r="E32" s="4">
        <f t="shared" si="0"/>
        <v>81665.037369226106</v>
      </c>
    </row>
    <row r="33" spans="2:5">
      <c r="B33" s="3">
        <v>26</v>
      </c>
      <c r="C33" s="4">
        <f t="shared" si="1"/>
        <v>3464371.59985663</v>
      </c>
      <c r="D33" s="4">
        <f t="shared" si="2"/>
        <v>3375326.9677581219</v>
      </c>
      <c r="E33" s="4">
        <f t="shared" si="0"/>
        <v>89044.632098508067</v>
      </c>
    </row>
    <row r="34" spans="2:5">
      <c r="B34" s="3">
        <v>27</v>
      </c>
      <c r="C34" s="4">
        <f t="shared" si="1"/>
        <v>3633952.5896696122</v>
      </c>
      <c r="D34" s="4">
        <f t="shared" si="2"/>
        <v>3537005.1295137363</v>
      </c>
      <c r="E34" s="4">
        <f t="shared" si="0"/>
        <v>96947.460155875888</v>
      </c>
    </row>
    <row r="35" spans="2:5">
      <c r="B35" s="3">
        <v>28</v>
      </c>
      <c r="C35" s="4">
        <f t="shared" si="1"/>
        <v>3811834.56893394</v>
      </c>
      <c r="D35" s="4">
        <f t="shared" si="2"/>
        <v>3706427.6752174445</v>
      </c>
      <c r="E35" s="4">
        <f t="shared" si="0"/>
        <v>105406.89371649548</v>
      </c>
    </row>
    <row r="36" spans="2:5">
      <c r="B36" s="3">
        <v>29</v>
      </c>
      <c r="C36" s="4">
        <f t="shared" si="1"/>
        <v>3998423.8710832568</v>
      </c>
      <c r="D36" s="4">
        <f t="shared" si="2"/>
        <v>3883965.56086036</v>
      </c>
      <c r="E36" s="4">
        <f t="shared" si="0"/>
        <v>114458.31022289675</v>
      </c>
    </row>
    <row r="37" spans="2:5">
      <c r="B37" s="10">
        <v>30</v>
      </c>
      <c r="C37" s="11">
        <f t="shared" si="1"/>
        <v>4194146.7195727825</v>
      </c>
      <c r="D37" s="11">
        <f t="shared" si="2"/>
        <v>4070007.5112255714</v>
      </c>
      <c r="E37" s="11">
        <f t="shared" si="0"/>
        <v>124139.20834721113</v>
      </c>
    </row>
    <row r="38" spans="2:5">
      <c r="B38" s="3">
        <v>31</v>
      </c>
      <c r="C38" s="4">
        <f t="shared" ref="C38:C55" si="3">C37*(1+$C$5)*(1-$C$6)</f>
        <v>4399450.20149587</v>
      </c>
      <c r="D38" s="4">
        <f t="shared" ref="D38:D55" si="4">D37*(1+$D$5)*(1-$D$6)</f>
        <v>4264960.8710132763</v>
      </c>
      <c r="E38" s="4">
        <f t="shared" ref="E38:E55" si="5">C38-D38</f>
        <v>134489.33048259374</v>
      </c>
    </row>
    <row r="39" spans="2:5">
      <c r="B39" s="3">
        <v>32</v>
      </c>
      <c r="C39" s="4">
        <f t="shared" si="3"/>
        <v>4614803.2888590926</v>
      </c>
      <c r="D39" s="4">
        <f t="shared" si="4"/>
        <v>4469252.4967348119</v>
      </c>
      <c r="E39" s="4">
        <f t="shared" si="5"/>
        <v>145550.79212428071</v>
      </c>
    </row>
    <row r="40" spans="2:5">
      <c r="B40" s="3">
        <v>33</v>
      </c>
      <c r="C40" s="4">
        <f t="shared" si="3"/>
        <v>4840697.909848745</v>
      </c>
      <c r="D40" s="4">
        <f t="shared" si="4"/>
        <v>4683329.6913284101</v>
      </c>
      <c r="E40" s="4">
        <f t="shared" si="5"/>
        <v>157368.21852033492</v>
      </c>
    </row>
    <row r="41" spans="2:5">
      <c r="B41" s="3">
        <v>34</v>
      </c>
      <c r="C41" s="4">
        <f t="shared" si="3"/>
        <v>5077650.0725358408</v>
      </c>
      <c r="D41" s="4">
        <f t="shared" si="4"/>
        <v>4907661.1835430404</v>
      </c>
      <c r="E41" s="4">
        <f t="shared" si="5"/>
        <v>169988.88899280038</v>
      </c>
    </row>
    <row r="42" spans="2:5">
      <c r="B42" s="3">
        <v>35</v>
      </c>
      <c r="C42" s="4">
        <f t="shared" si="3"/>
        <v>5326201.0435864711</v>
      </c>
      <c r="D42" s="4">
        <f t="shared" si="4"/>
        <v>5142738.1542347521</v>
      </c>
      <c r="E42" s="4">
        <f t="shared" si="5"/>
        <v>183462.88935171906</v>
      </c>
    </row>
    <row r="43" spans="2:5">
      <c r="B43" s="3">
        <v>36</v>
      </c>
      <c r="C43" s="4">
        <f t="shared" si="3"/>
        <v>5586918.5846700286</v>
      </c>
      <c r="D43" s="4">
        <f t="shared" si="4"/>
        <v>5389075.3118225969</v>
      </c>
      <c r="E43" s="4">
        <f t="shared" si="5"/>
        <v>197843.27284743171</v>
      </c>
    </row>
    <row r="44" spans="2:5">
      <c r="B44" s="3">
        <v>37</v>
      </c>
      <c r="C44" s="4">
        <f t="shared" si="3"/>
        <v>5860398.249389627</v>
      </c>
      <c r="D44" s="4">
        <f t="shared" si="4"/>
        <v>5647212.0192588987</v>
      </c>
      <c r="E44" s="4">
        <f t="shared" si="5"/>
        <v>213186.23013072833</v>
      </c>
    </row>
    <row r="45" spans="2:5">
      <c r="B45" s="3">
        <v>38</v>
      </c>
      <c r="C45" s="4">
        <f t="shared" si="3"/>
        <v>6147264.7436972503</v>
      </c>
      <c r="D45" s="4">
        <f t="shared" si="4"/>
        <v>5917713.4749814002</v>
      </c>
      <c r="E45" s="4">
        <f t="shared" si="5"/>
        <v>229551.26871585008</v>
      </c>
    </row>
    <row r="46" spans="2:5">
      <c r="B46" s="3">
        <v>39</v>
      </c>
      <c r="C46" s="4">
        <f t="shared" si="3"/>
        <v>6448173.3529012306</v>
      </c>
      <c r="D46" s="4">
        <f t="shared" si="4"/>
        <v>6201171.9504330102</v>
      </c>
      <c r="E46" s="4">
        <f t="shared" si="5"/>
        <v>247001.40246822033</v>
      </c>
    </row>
    <row r="47" spans="2:5">
      <c r="B47" s="10">
        <v>40</v>
      </c>
      <c r="C47" s="11">
        <f t="shared" si="3"/>
        <v>6763811.4385257456</v>
      </c>
      <c r="D47" s="11">
        <f t="shared" si="4"/>
        <v>6498208.0868587513</v>
      </c>
      <c r="E47" s="11">
        <f t="shared" si="5"/>
        <v>265603.35166699439</v>
      </c>
    </row>
    <row r="48" spans="2:5">
      <c r="B48" s="3">
        <v>41</v>
      </c>
      <c r="C48" s="4">
        <f t="shared" si="3"/>
        <v>7094900.0084415814</v>
      </c>
      <c r="D48" s="4">
        <f t="shared" si="4"/>
        <v>6809472.2542192861</v>
      </c>
      <c r="E48" s="4">
        <f t="shared" si="5"/>
        <v>285427.75422229525</v>
      </c>
    </row>
    <row r="49" spans="2:5">
      <c r="B49" s="3">
        <v>42</v>
      </c>
      <c r="C49" s="4">
        <f t="shared" si="3"/>
        <v>7442195.3638547966</v>
      </c>
      <c r="D49" s="4">
        <f t="shared" si="4"/>
        <v>7135645.9751963904</v>
      </c>
      <c r="E49" s="4">
        <f t="shared" si="5"/>
        <v>306549.38865840621</v>
      </c>
    </row>
    <row r="50" spans="2:5">
      <c r="B50" s="3">
        <v>43</v>
      </c>
      <c r="C50" s="4">
        <f t="shared" si="3"/>
        <v>7806490.8269154895</v>
      </c>
      <c r="D50" s="4">
        <f t="shared" si="4"/>
        <v>7477443.4174082978</v>
      </c>
      <c r="E50" s="4">
        <f t="shared" si="5"/>
        <v>329047.40950719174</v>
      </c>
    </row>
    <row r="51" spans="2:5">
      <c r="B51" s="3">
        <v>44</v>
      </c>
      <c r="C51" s="4">
        <f t="shared" si="3"/>
        <v>8188618.5528930034</v>
      </c>
      <c r="D51" s="4">
        <f t="shared" si="4"/>
        <v>7835612.9571021553</v>
      </c>
      <c r="E51" s="4">
        <f t="shared" si="5"/>
        <v>353005.59579084814</v>
      </c>
    </row>
    <row r="52" spans="2:5">
      <c r="B52" s="3">
        <v>45</v>
      </c>
      <c r="C52" s="4">
        <f t="shared" si="3"/>
        <v>8589451.4310571179</v>
      </c>
      <c r="D52" s="4">
        <f t="shared" si="4"/>
        <v>8210938.817747348</v>
      </c>
      <c r="E52" s="4">
        <f t="shared" si="5"/>
        <v>378512.61330976989</v>
      </c>
    </row>
    <row r="53" spans="2:5">
      <c r="B53" s="3">
        <v>46</v>
      </c>
      <c r="C53" s="4">
        <f t="shared" si="3"/>
        <v>9009905.0786073636</v>
      </c>
      <c r="D53" s="4">
        <f t="shared" si="4"/>
        <v>8604242.7871174477</v>
      </c>
      <c r="E53" s="4">
        <f t="shared" si="5"/>
        <v>405662.29148991592</v>
      </c>
    </row>
    <row r="54" spans="2:5">
      <c r="B54" s="3">
        <v>47</v>
      </c>
      <c r="C54" s="4">
        <f t="shared" si="3"/>
        <v>9450939.9322051946</v>
      </c>
      <c r="D54" s="4">
        <f t="shared" si="4"/>
        <v>9016386.0166203752</v>
      </c>
      <c r="E54" s="4">
        <f t="shared" si="5"/>
        <v>434553.91558481939</v>
      </c>
    </row>
    <row r="55" spans="2:5">
      <c r="B55" s="3">
        <v>48</v>
      </c>
      <c r="C55" s="4">
        <f t="shared" si="3"/>
        <v>9913563.4418866392</v>
      </c>
      <c r="D55" s="4">
        <f t="shared" si="4"/>
        <v>9448270.9068164919</v>
      </c>
      <c r="E55" s="4">
        <f t="shared" si="5"/>
        <v>465292.53507014737</v>
      </c>
    </row>
    <row r="56" spans="2:5">
      <c r="B56" s="3">
        <v>49</v>
      </c>
      <c r="C56" s="4">
        <f t="shared" ref="C56:C57" si="6">C55*(1+$C$5)*(1-$C$6)</f>
        <v>10398832.372366991</v>
      </c>
      <c r="D56" s="4">
        <f t="shared" ref="D56:D57" si="7">D55*(1+$D$5)*(1-$D$6)</f>
        <v>9900843.0832530018</v>
      </c>
      <c r="E56" s="4">
        <f t="shared" ref="E56:E57" si="8">C56-D56</f>
        <v>497989.2891139891</v>
      </c>
    </row>
    <row r="57" spans="2:5">
      <c r="B57" s="10">
        <v>50</v>
      </c>
      <c r="C57" s="11">
        <f t="shared" si="6"/>
        <v>10907855.216994356</v>
      </c>
      <c r="D57" s="11">
        <f t="shared" si="7"/>
        <v>10375093.466940822</v>
      </c>
      <c r="E57" s="11">
        <f t="shared" si="8"/>
        <v>532761.75005353428</v>
      </c>
    </row>
    <row r="58" spans="2:5"/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信託報酬シミュレーター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Shogo Kawaguchi</cp:lastModifiedBy>
  <dcterms:created xsi:type="dcterms:W3CDTF">2015-06-05T18:19:34Z</dcterms:created>
  <dcterms:modified xsi:type="dcterms:W3CDTF">2025-12-01T12:40:29Z</dcterms:modified>
</cp:coreProperties>
</file>